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4E19E0B-799A-460F-8052-D63416ED83BB}" xr6:coauthVersionLast="47" xr6:coauthVersionMax="47" xr10:uidLastSave="{00000000-0000-0000-0000-000000000000}"/>
  <bookViews>
    <workbookView xWindow="-108" yWindow="-108" windowWidth="23256" windowHeight="12456" activeTab="4" xr2:uid="{8C5B449E-2812-4971-8899-45F19F917529}"/>
  </bookViews>
  <sheets>
    <sheet name="Sheet2" sheetId="2" r:id="rId1"/>
    <sheet name="Sheet3" sheetId="3" r:id="rId2"/>
    <sheet name="Sheet4" sheetId="4" r:id="rId3"/>
    <sheet name="Sheet5" sheetId="5" r:id="rId4"/>
    <sheet name="Sheet1" sheetId="1" r:id="rId5"/>
  </sheets>
  <calcPr calcId="191029"/>
  <pivotCaches>
    <pivotCache cacheId="2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" l="1"/>
  <c r="K5" i="1"/>
  <c r="K4" i="1"/>
  <c r="K3" i="1"/>
</calcChain>
</file>

<file path=xl/sharedStrings.xml><?xml version="1.0" encoding="utf-8"?>
<sst xmlns="http://schemas.openxmlformats.org/spreadsheetml/2006/main" count="80" uniqueCount="38">
  <si>
    <t>Candidate Name</t>
  </si>
  <si>
    <t>Department</t>
  </si>
  <si>
    <t>Source</t>
  </si>
  <si>
    <t>Interview Status</t>
  </si>
  <si>
    <t>Offer Status</t>
  </si>
  <si>
    <t>Hiring Date</t>
  </si>
  <si>
    <t>Recruiter</t>
  </si>
  <si>
    <t>Rahul Sharma</t>
  </si>
  <si>
    <t>Tech</t>
  </si>
  <si>
    <t>LinkedIn</t>
  </si>
  <si>
    <t>Completed</t>
  </si>
  <si>
    <t>Selected</t>
  </si>
  <si>
    <t>Aman</t>
  </si>
  <si>
    <t>Priya Verma</t>
  </si>
  <si>
    <t>HR</t>
  </si>
  <si>
    <t>Naukri</t>
  </si>
  <si>
    <t>Scheduled</t>
  </si>
  <si>
    <t>Pending</t>
  </si>
  <si>
    <t>Riya</t>
  </si>
  <si>
    <t>Kiran Kumar</t>
  </si>
  <si>
    <t>Marketing</t>
  </si>
  <si>
    <t>Referral</t>
  </si>
  <si>
    <t>Rejected</t>
  </si>
  <si>
    <t>Sneha Patel</t>
  </si>
  <si>
    <t>Sales</t>
  </si>
  <si>
    <t>Campus Drive</t>
  </si>
  <si>
    <t>Rahul</t>
  </si>
  <si>
    <t>Arjun Reddy</t>
  </si>
  <si>
    <t>Neha Singh</t>
  </si>
  <si>
    <t>Vikram Rao</t>
  </si>
  <si>
    <t>Pooja Nair</t>
  </si>
  <si>
    <t>Aditya Jain</t>
  </si>
  <si>
    <t>Meera Das</t>
  </si>
  <si>
    <t>Total Candidates</t>
  </si>
  <si>
    <t>Count of Candidate Name</t>
  </si>
  <si>
    <t>Count</t>
  </si>
  <si>
    <t xml:space="preserve"> hkhvk</t>
  </si>
  <si>
    <t>Recruitment Analytics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</si>
</sst>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/>
    <xf numFmtId="0" fontId="5" fillId="6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8" borderId="0" xfId="0" applyFill="1"/>
    <xf numFmtId="0" fontId="6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FFFFCC"/>
      <color rgb="FFF3B7EF"/>
      <color rgb="FFED93E7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Candidate</a:t>
            </a:r>
            <a:r>
              <a:rPr lang="en-IN" baseline="0"/>
              <a:t> Offer Status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Sheet1!$J$4:$J$6</c:f>
              <c:strCache>
                <c:ptCount val="3"/>
                <c:pt idx="0">
                  <c:v>Selected</c:v>
                </c:pt>
                <c:pt idx="1">
                  <c:v>Rejected</c:v>
                </c:pt>
                <c:pt idx="2">
                  <c:v>Pending</c:v>
                </c:pt>
              </c:strCache>
            </c:strRef>
          </c:cat>
          <c:val>
            <c:numRef>
              <c:f>Sheet1!$K$4:$K$6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A-4E8B-A28D-962FA0D0B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Departent</a:t>
            </a:r>
            <a:r>
              <a:rPr lang="en-US" baseline="0"/>
              <a:t> wise Hiring</a:t>
            </a:r>
            <a:endParaRPr lang="en-US"/>
          </a:p>
        </c:rich>
      </c:tx>
      <c:layout>
        <c:manualLayout>
          <c:xMode val="edge"/>
          <c:yMode val="edge"/>
          <c:x val="0.2340642035130224"/>
          <c:y val="3.560830860534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10242768510485"/>
          <c:y val="0.2082492581602374"/>
          <c:w val="0.84515952657684945"/>
          <c:h val="0.642206126311362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Sheet1!$N$3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Sheet1!$M$4:$M$7</c:f>
              <c:strCache>
                <c:ptCount val="4"/>
                <c:pt idx="0">
                  <c:v>Tech</c:v>
                </c:pt>
                <c:pt idx="1">
                  <c:v>HR</c:v>
                </c:pt>
                <c:pt idx="2">
                  <c:v>Marketing</c:v>
                </c:pt>
                <c:pt idx="3">
                  <c:v>Sales</c:v>
                </c:pt>
              </c:strCache>
            </c:strRef>
          </c:cat>
          <c:val>
            <c:numRef>
              <c:f>Sheet1!$N$4:$N$7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F-4182-8530-E6B131659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3495423"/>
        <c:axId val="1993494463"/>
      </c:barChart>
      <c:catAx>
        <c:axId val="199349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494463"/>
        <c:crosses val="autoZero"/>
        <c:auto val="1"/>
        <c:lblAlgn val="ctr"/>
        <c:lblOffset val="100"/>
        <c:noMultiLvlLbl val="0"/>
      </c:catAx>
      <c:valAx>
        <c:axId val="199349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495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31750</xdr:colOff>
      <xdr:row>9</xdr:row>
      <xdr:rowOff>85090</xdr:rowOff>
    </xdr:from>
    <xdr:to>
      <xdr:col>10</xdr:col>
      <xdr:colOff>514350</xdr:colOff>
      <xdr:row>22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D76C9A-643B-7B13-AEE3-B6A4CF4E4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44450</xdr:colOff>
      <xdr:row>9</xdr:row>
      <xdr:rowOff>6350</xdr:rowOff>
    </xdr:from>
    <xdr:to>
      <xdr:col>16</xdr:col>
      <xdr:colOff>406400</xdr:colOff>
      <xdr:row>20</xdr:row>
      <xdr:rowOff>120650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6A896B-6D8E-8522-B0F4-864E9B33CF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65.922041087964" createdVersion="8" refreshedVersion="8" minRefreshableVersion="3" recordCount="10" xr:uid="{5C73A7AF-8F50-46E4-8DA9-4C7CA730749D}">
  <cacheSource type="worksheet">
    <worksheetSource ref="A2:G12" sheet="Sheet1"/>
  </cacheSource>
  <cacheFields count="7">
    <cacheField name="Candidate Name" numFmtId="0">
      <sharedItems count="10">
        <s v="Rahul Sharma"/>
        <s v="Priya Verma"/>
        <s v="Kiran Kumar"/>
        <s v="Sneha Patel"/>
        <s v="Arjun Reddy"/>
        <s v="Neha Singh"/>
        <s v="Vikram Rao"/>
        <s v="Pooja Nair"/>
        <s v="Aditya Jain"/>
        <s v="Meera Das"/>
      </sharedItems>
    </cacheField>
    <cacheField name="Department" numFmtId="0">
      <sharedItems count="4">
        <s v="Tech"/>
        <s v="HR"/>
        <s v="Marketing"/>
        <s v="Sales"/>
      </sharedItems>
    </cacheField>
    <cacheField name="Source" numFmtId="0">
      <sharedItems/>
    </cacheField>
    <cacheField name="Interview Status" numFmtId="0">
      <sharedItems/>
    </cacheField>
    <cacheField name="Offer Status" numFmtId="0">
      <sharedItems count="3">
        <s v="Selected"/>
        <s v="Pending"/>
        <s v="Rejected"/>
      </sharedItems>
    </cacheField>
    <cacheField name="Hiring Date" numFmtId="14">
      <sharedItems containsSemiMixedTypes="0" containsNonDate="0" containsDate="1" containsString="0" minDate="2026-05-01T00:00:00" maxDate="2026-05-11T00:00:00"/>
    </cacheField>
    <cacheField name="Recruit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s v="LinkedIn"/>
    <s v="Completed"/>
    <x v="0"/>
    <d v="2026-05-01T00:00:00"/>
    <s v="Aman"/>
  </r>
  <r>
    <x v="1"/>
    <x v="1"/>
    <s v="Naukri"/>
    <s v="Scheduled"/>
    <x v="1"/>
    <d v="2026-05-02T00:00:00"/>
    <s v="Riya"/>
  </r>
  <r>
    <x v="2"/>
    <x v="2"/>
    <s v="Referral"/>
    <s v="Completed"/>
    <x v="2"/>
    <d v="2026-05-03T00:00:00"/>
    <s v="Aman"/>
  </r>
  <r>
    <x v="3"/>
    <x v="3"/>
    <s v="Campus Drive"/>
    <s v="Completed"/>
    <x v="0"/>
    <d v="2026-05-04T00:00:00"/>
    <s v="Rahul"/>
  </r>
  <r>
    <x v="4"/>
    <x v="0"/>
    <s v="LinkedIn"/>
    <s v="Scheduled"/>
    <x v="1"/>
    <d v="2026-05-05T00:00:00"/>
    <s v="Riya"/>
  </r>
  <r>
    <x v="5"/>
    <x v="1"/>
    <s v="Referral"/>
    <s v="Completed"/>
    <x v="0"/>
    <d v="2026-05-06T00:00:00"/>
    <s v="Aman"/>
  </r>
  <r>
    <x v="6"/>
    <x v="2"/>
    <s v="Naukri"/>
    <s v="Completed"/>
    <x v="2"/>
    <d v="2026-05-07T00:00:00"/>
    <s v="Rahul"/>
  </r>
  <r>
    <x v="7"/>
    <x v="3"/>
    <s v="LinkedIn"/>
    <s v="Scheduled"/>
    <x v="1"/>
    <d v="2026-05-08T00:00:00"/>
    <s v="Riya"/>
  </r>
  <r>
    <x v="8"/>
    <x v="0"/>
    <s v="Campus Drive"/>
    <s v="Completed"/>
    <x v="0"/>
    <d v="2026-05-09T00:00:00"/>
    <s v="Aman"/>
  </r>
  <r>
    <x v="9"/>
    <x v="1"/>
    <s v="Referral"/>
    <s v="Completed"/>
    <x v="2"/>
    <d v="2026-05-10T00:00:00"/>
    <s v="Rahu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43DDE5-E946-4636-89EC-4FA6EF161E18}" name="PivotTable7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A4" firstHeaderRow="1" firstDataRow="1" firstDataCol="0"/>
  <pivotFields count="7">
    <pivotField showAll="0">
      <items count="11">
        <item x="8"/>
        <item x="4"/>
        <item x="2"/>
        <item x="9"/>
        <item x="5"/>
        <item x="7"/>
        <item x="1"/>
        <item x="0"/>
        <item x="3"/>
        <item x="6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dataField="1" showAll="0">
      <items count="4">
        <item x="1"/>
        <item x="2"/>
        <item x="0"/>
        <item t="default"/>
      </items>
    </pivotField>
    <pivotField numFmtId="14" showAll="0"/>
    <pivotField showAll="0"/>
  </pivotFields>
  <rowItems count="1">
    <i/>
  </rowItems>
  <colItems count="1">
    <i/>
  </colItems>
  <dataFields count="1">
    <dataField name=" hkhvk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B5ED09-47C4-4EC7-A547-B309609DC53A}" name="PivotTable8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A4" firstHeaderRow="1" firstDataRow="1" firstDataCol="0"/>
  <pivotFields count="7">
    <pivotField dataField="1" showAll="0">
      <items count="11">
        <item x="8"/>
        <item x="4"/>
        <item x="2"/>
        <item x="9"/>
        <item x="5"/>
        <item x="7"/>
        <item x="1"/>
        <item x="0"/>
        <item x="3"/>
        <item x="6"/>
        <item t="default"/>
      </items>
    </pivotField>
    <pivotField showAll="0"/>
    <pivotField showAll="0"/>
    <pivotField showAll="0"/>
    <pivotField showAll="0"/>
    <pivotField numFmtId="14" showAll="0"/>
    <pivotField showAll="0"/>
  </pivotFields>
  <rowItems count="1">
    <i/>
  </rowItems>
  <colItems count="1">
    <i/>
  </colItems>
  <dataFields count="1">
    <dataField name="Count of Candidate Nam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BC289-BF9E-4817-8797-518ED185876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B50F8-A970-4BFC-BA38-FD484DC23C47}">
  <dimension ref="A1"/>
  <sheetViews>
    <sheetView workbookViewId="0">
      <selection activeCell="B5" sqref="B5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75DA-ED40-410A-9265-9D57E14BA154}">
  <dimension ref="A3:A4"/>
  <sheetViews>
    <sheetView workbookViewId="0">
      <selection activeCell="A11" sqref="A11"/>
    </sheetView>
  </sheetViews>
  <sheetFormatPr defaultRowHeight="14.4" x14ac:dyDescent="0.3"/>
  <cols>
    <col min="1" max="1" width="19" bestFit="1" customWidth="1"/>
  </cols>
  <sheetData>
    <row r="3" spans="1:1" x14ac:dyDescent="0.3">
      <c r="A3" t="s">
        <v>36</v>
      </c>
    </row>
    <row r="4" spans="1:1" x14ac:dyDescent="0.3">
      <c r="A4" s="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F9B5B-EB70-47F0-ABBD-124CF775FF3D}">
  <dimension ref="A3:A4"/>
  <sheetViews>
    <sheetView workbookViewId="0">
      <selection activeCell="A3" sqref="A3"/>
    </sheetView>
  </sheetViews>
  <sheetFormatPr defaultRowHeight="14.4" x14ac:dyDescent="0.3"/>
  <cols>
    <col min="1" max="1" width="23.109375" bestFit="1" customWidth="1"/>
  </cols>
  <sheetData>
    <row r="3" spans="1:1" x14ac:dyDescent="0.3">
      <c r="A3" t="s">
        <v>34</v>
      </c>
    </row>
    <row r="4" spans="1:1" x14ac:dyDescent="0.3">
      <c r="A4" s="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6B0FC-B01C-4ACA-96C5-22FEFB54BC22}">
  <dimension ref="A1:N12"/>
  <sheetViews>
    <sheetView tabSelected="1" zoomScale="120" zoomScaleNormal="100" workbookViewId="0">
      <selection activeCell="F17" sqref="F17"/>
    </sheetView>
  </sheetViews>
  <sheetFormatPr defaultRowHeight="14.4" x14ac:dyDescent="0.3"/>
  <cols>
    <col min="1" max="1" width="14.6640625" bestFit="1" customWidth="1"/>
    <col min="2" max="2" width="11.33203125" customWidth="1"/>
    <col min="4" max="4" width="14.21875" bestFit="1" customWidth="1"/>
    <col min="5" max="5" width="10.77734375" bestFit="1" customWidth="1"/>
    <col min="6" max="6" width="10.33203125" bestFit="1" customWidth="1"/>
    <col min="10" max="10" width="14.5546875" customWidth="1"/>
    <col min="13" max="13" width="12.5546875" customWidth="1"/>
  </cols>
  <sheetData>
    <row r="1" spans="1:14" ht="23.4" x14ac:dyDescent="0.45">
      <c r="A1" s="12"/>
      <c r="B1" s="13" t="s">
        <v>37</v>
      </c>
      <c r="C1" s="12"/>
      <c r="D1" s="13"/>
      <c r="E1" s="13"/>
      <c r="F1" s="12"/>
      <c r="G1" s="12"/>
    </row>
    <row r="2" spans="1:14" x14ac:dyDescent="0.3">
      <c r="A2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</row>
    <row r="3" spans="1:14" ht="28.8" x14ac:dyDescent="0.3">
      <c r="A3" t="s">
        <v>7</v>
      </c>
      <c r="B3" s="10" t="s">
        <v>8</v>
      </c>
      <c r="C3" s="10" t="s">
        <v>9</v>
      </c>
      <c r="D3" s="10" t="s">
        <v>10</v>
      </c>
      <c r="E3" s="10" t="s">
        <v>11</v>
      </c>
      <c r="F3" s="11">
        <v>46143</v>
      </c>
      <c r="G3" s="10" t="s">
        <v>12</v>
      </c>
      <c r="J3" s="2" t="s">
        <v>33</v>
      </c>
      <c r="K3" s="2">
        <f>COUNTA(A3:A12)</f>
        <v>10</v>
      </c>
      <c r="M3" s="7" t="s">
        <v>1</v>
      </c>
      <c r="N3" s="7" t="s">
        <v>35</v>
      </c>
    </row>
    <row r="4" spans="1:14" x14ac:dyDescent="0.3">
      <c r="A4" t="s">
        <v>13</v>
      </c>
      <c r="B4" s="10" t="s">
        <v>14</v>
      </c>
      <c r="C4" s="10" t="s">
        <v>15</v>
      </c>
      <c r="D4" s="10" t="s">
        <v>16</v>
      </c>
      <c r="E4" s="10" t="s">
        <v>17</v>
      </c>
      <c r="F4" s="11">
        <v>46144</v>
      </c>
      <c r="G4" s="10" t="s">
        <v>18</v>
      </c>
      <c r="J4" s="3" t="s">
        <v>11</v>
      </c>
      <c r="K4" s="3">
        <f>COUNTIF(E3:E12,"Selected")</f>
        <v>4</v>
      </c>
      <c r="M4" s="8" t="s">
        <v>8</v>
      </c>
      <c r="N4" s="8">
        <v>3</v>
      </c>
    </row>
    <row r="5" spans="1:14" x14ac:dyDescent="0.3">
      <c r="A5" t="s">
        <v>19</v>
      </c>
      <c r="B5" s="10" t="s">
        <v>20</v>
      </c>
      <c r="C5" s="10" t="s">
        <v>21</v>
      </c>
      <c r="D5" s="10" t="s">
        <v>10</v>
      </c>
      <c r="E5" s="10" t="s">
        <v>22</v>
      </c>
      <c r="F5" s="11">
        <v>46145</v>
      </c>
      <c r="G5" s="10" t="s">
        <v>12</v>
      </c>
      <c r="J5" s="4" t="s">
        <v>22</v>
      </c>
      <c r="K5" s="4">
        <f>COUNTIF(E3:E12,"Rejected")</f>
        <v>3</v>
      </c>
      <c r="M5" s="8" t="s">
        <v>14</v>
      </c>
      <c r="N5" s="8">
        <v>3</v>
      </c>
    </row>
    <row r="6" spans="1:14" ht="18.600000000000001" customHeight="1" x14ac:dyDescent="0.3">
      <c r="A6" t="s">
        <v>23</v>
      </c>
      <c r="B6" s="10" t="s">
        <v>24</v>
      </c>
      <c r="C6" s="10" t="s">
        <v>25</v>
      </c>
      <c r="D6" s="10" t="s">
        <v>10</v>
      </c>
      <c r="E6" s="10" t="s">
        <v>11</v>
      </c>
      <c r="F6" s="11">
        <v>46146</v>
      </c>
      <c r="G6" s="10" t="s">
        <v>26</v>
      </c>
      <c r="J6" s="5" t="s">
        <v>17</v>
      </c>
      <c r="K6" s="6">
        <f>COUNTIF(E3:E12,"Pending")</f>
        <v>3</v>
      </c>
      <c r="M6" s="8" t="s">
        <v>20</v>
      </c>
      <c r="N6" s="8">
        <v>2</v>
      </c>
    </row>
    <row r="7" spans="1:14" x14ac:dyDescent="0.3">
      <c r="A7" t="s">
        <v>27</v>
      </c>
      <c r="B7" s="10" t="s">
        <v>8</v>
      </c>
      <c r="C7" s="10" t="s">
        <v>9</v>
      </c>
      <c r="D7" s="10" t="s">
        <v>16</v>
      </c>
      <c r="E7" s="10" t="s">
        <v>17</v>
      </c>
      <c r="F7" s="11">
        <v>46147</v>
      </c>
      <c r="G7" s="10" t="s">
        <v>18</v>
      </c>
      <c r="M7" s="8" t="s">
        <v>24</v>
      </c>
      <c r="N7" s="8">
        <v>2</v>
      </c>
    </row>
    <row r="8" spans="1:14" x14ac:dyDescent="0.3">
      <c r="A8" t="s">
        <v>28</v>
      </c>
      <c r="B8" s="10" t="s">
        <v>14</v>
      </c>
      <c r="C8" s="10" t="s">
        <v>21</v>
      </c>
      <c r="D8" s="10" t="s">
        <v>10</v>
      </c>
      <c r="E8" s="10" t="s">
        <v>11</v>
      </c>
      <c r="F8" s="11">
        <v>46148</v>
      </c>
      <c r="G8" s="10" t="s">
        <v>12</v>
      </c>
    </row>
    <row r="9" spans="1:14" x14ac:dyDescent="0.3">
      <c r="A9" t="s">
        <v>29</v>
      </c>
      <c r="B9" s="10" t="s">
        <v>20</v>
      </c>
      <c r="C9" s="10" t="s">
        <v>15</v>
      </c>
      <c r="D9" s="10" t="s">
        <v>10</v>
      </c>
      <c r="E9" s="10" t="s">
        <v>22</v>
      </c>
      <c r="F9" s="11">
        <v>46149</v>
      </c>
      <c r="G9" s="10" t="s">
        <v>26</v>
      </c>
    </row>
    <row r="10" spans="1:14" x14ac:dyDescent="0.3">
      <c r="A10" t="s">
        <v>30</v>
      </c>
      <c r="B10" s="10" t="s">
        <v>24</v>
      </c>
      <c r="C10" s="10" t="s">
        <v>9</v>
      </c>
      <c r="D10" s="10" t="s">
        <v>16</v>
      </c>
      <c r="E10" s="10" t="s">
        <v>17</v>
      </c>
      <c r="F10" s="11">
        <v>46150</v>
      </c>
      <c r="G10" s="10" t="s">
        <v>18</v>
      </c>
    </row>
    <row r="11" spans="1:14" x14ac:dyDescent="0.3">
      <c r="A11" t="s">
        <v>31</v>
      </c>
      <c r="B11" s="10" t="s">
        <v>8</v>
      </c>
      <c r="C11" s="10" t="s">
        <v>25</v>
      </c>
      <c r="D11" s="10" t="s">
        <v>10</v>
      </c>
      <c r="E11" s="10" t="s">
        <v>11</v>
      </c>
      <c r="F11" s="11">
        <v>46151</v>
      </c>
      <c r="G11" s="10" t="s">
        <v>12</v>
      </c>
    </row>
    <row r="12" spans="1:14" x14ac:dyDescent="0.3">
      <c r="A12" t="s">
        <v>32</v>
      </c>
      <c r="B12" s="10" t="s">
        <v>14</v>
      </c>
      <c r="C12" s="10" t="s">
        <v>21</v>
      </c>
      <c r="D12" s="10" t="s">
        <v>10</v>
      </c>
      <c r="E12" s="10" t="s">
        <v>22</v>
      </c>
      <c r="F12" s="11">
        <v>46152</v>
      </c>
      <c r="G12" s="10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Sheet4</vt:lpstr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chaithu nandam</dc:creator>
  <cp:lastModifiedBy>chaithu nandam</cp:lastModifiedBy>
  <dcterms:created xsi:type="dcterms:W3CDTF">2026-05-23T16:13:25Z</dcterms:created>
  <dcterms:modified xsi:type="dcterms:W3CDTF">2026-05-23T17:53:43Z</dcterms:modified>
</cp:coreProperties>
</file>